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f33769dbc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848a088441b4c3c"/>
    <x:sheet xmlns:r="http://schemas.openxmlformats.org/officeDocument/2006/relationships" name="Budget_EVM" sheetId="2" r:id="Rd73cf10e19724f3c"/>
    <x:sheet xmlns:r="http://schemas.openxmlformats.org/officeDocument/2006/relationships" name="Vendor_Matrix" sheetId="3" r:id="R38072c1adf00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0.0%"/>
    <x:numFmt numFmtId="202" formatCode="0.00"/>
  </x:numFmts>
  <x:fonts count="7">
    <x:font>
      <x:sz val="11"/>
      <x:name val="Carlito"/>
    </x:font>
    <x:font>
      <x:b/>
      <x:sz val="15"/>
      <x:color rgb="FF1F1F1F"/>
      <x:name val="Arial"/>
    </x:font>
    <x:font>
      <x:i/>
      <x:sz val="10"/>
      <x:color rgb="FF5B5B5B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sz val="10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/>
      <x:diagonal/>
    </x:border>
  </x:borders>
  <x:cellStyleXfs count="1">
    <x:xf numFmtId="0" fontId="0" fillId="0" borderId="0"/>
  </x:cellStyleXfs>
  <x:cellXfs count="1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201" fontId="6" fillId="3" borderId="9" xfId="0" applyNumberFormat="1" applyFont="1" applyFill="1" applyBorder="1" applyAlignment="1">
      <x:alignment vertical="center"/>
    </x:xf>
    <x:xf numFmtId="200" fontId="4" fillId="3" borderId="8" xfId="0" applyNumberFormat="1" applyFont="1" applyFill="1" applyBorder="1" applyAlignment="1">
      <x:alignment vertical="center"/>
    </x:xf>
    <x:xf numFmtId="200" fontId="4" fillId="3" borderId="9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0" fontId="4" fillId="3" borderId="10" xfId="0" applyNumberFormat="1" applyFont="1" applyFill="1" applyBorder="1" applyAlignment="1">
      <x:alignment vertical="center"/>
    </x:xf>
    <x:xf numFmtId="200" fontId="4" fillId="3" borderId="7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201" fontId="4" fillId="0" borderId="13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202" fontId="4" fillId="3" borderId="8" xfId="0" applyNumberFormat="1" applyFont="1" applyFill="1" applyBorder="1" applyAlignment="1">
      <x:alignment vertical="center"/>
    </x:xf>
    <x:xf numFmtId="202" fontId="4" fillId="3" borderId="9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20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200" fontId="4" fillId="3" borderId="9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1" fontId="6" fillId="3" borderId="9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200" fontId="6" fillId="0" borderId="7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1" fontId="4" fillId="0" borderId="10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200" fontId="4" fillId="3" borderId="10" xfId="0" applyNumberFormat="1" applyFont="1" applyFill="1" applyBorder="1" applyAlignment="1">
      <x:alignment vertical="center" wrapText="1"/>
    </x:xf>
    <x:xf numFmtId="200" fontId="4" fillId="3" borderId="7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0" fontId="6" fillId="0" borderId="8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center" wrapText="1"/>
    </x:xf>
    <x:xf numFmtId="200" fontId="6" fillId="0" borderId="9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center" wrapText="1"/>
    </x:xf>
    <x:xf numFmtId="201" fontId="6" fillId="0" borderId="1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201" fontId="4" fillId="0" borderId="13" xfId="0" applyNumberFormat="1" applyFont="1" applyFill="1" applyBorder="1" applyAlignment="1">
      <x:alignment vertical="center" wrapText="1"/>
    </x:xf>
    <x:xf numFmtId="202" fontId="4" fillId="3" borderId="8" xfId="0" applyNumberFormat="1" applyFont="1" applyFill="1" applyBorder="1" applyAlignment="1">
      <x:alignment vertical="center" wrapText="1"/>
    </x:xf>
    <x:xf numFmtId="202" fontId="4" fillId="3" borderId="9" xfId="0" applyNumberFormat="1" applyFont="1" applyFill="1" applyBorder="1" applyAlignment="1">
      <x:alignment vertical="center" wrapText="1"/>
    </x:xf>
    <x:xf numFmtId="202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a729139d54f83" /><Relationship Type="http://schemas.openxmlformats.org/officeDocument/2006/relationships/theme" Target="/xl/theme/theme1.xml" Id="R80ddeecc8d5443d5" /><Relationship Type="http://schemas.openxmlformats.org/officeDocument/2006/relationships/sharedStrings" Target="/xl/sharedStrings.xml" Id="R704ebf84973d4783" /><Relationship Type="http://schemas.openxmlformats.org/officeDocument/2006/relationships/worksheet" Target="/xl/worksheets/sheet1.xml" Id="Rf848a088441b4c3c" /><Relationship Type="http://schemas.openxmlformats.org/officeDocument/2006/relationships/worksheet" Target="/xl/worksheets/sheet2.xml" Id="Rd73cf10e19724f3c" /><Relationship Type="http://schemas.openxmlformats.org/officeDocument/2006/relationships/worksheet" Target="/xl/worksheets/sheet3.xml" Id="R38072c1adf004a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4" hidden="0" customWidth="1"/>
    <x:col min="4" max="4" width="21" hidden="0" customWidth="1"/>
    <x:col min="5" max="5" width="17" hidden="0" customWidth="1"/>
    <x:col min="6" max="6" width="17" hidden="0" customWidth="1"/>
    <x:col min="7" max="7" width="17" hidden="0" customWidth="1"/>
    <x:col min="8" max="8" width="25" hidden="0" customWidth="1"/>
  </x:cols>
  <x:sheetData>
    <x:row r="1">
      <x:c r="A1" s="86"/>
      <x:c r="B1" s="86"/>
      <x:c r="C1" s="86"/>
      <x:c r="D1" s="86"/>
      <x:c r="E1" s="86"/>
      <x:c r="F1" s="86"/>
      <x:c r="G1" s="86"/>
      <x:c r="H1" s="86"/>
    </x:row>
    <x:row r="2">
      <x:c r="A2" s="87" t="str">
        <x:v>ClinicFlow control dashboard</x:v>
      </x:c>
      <x:c r="B2" s="86"/>
      <x:c r="C2" s="86"/>
      <x:c r="D2" s="86"/>
      <x:c r="E2" s="86"/>
      <x:c r="F2" s="86"/>
      <x:c r="G2" s="86"/>
      <x:c r="H2" s="86"/>
    </x:row>
    <x:row r="3">
      <x:c r="A3" s="88" t="str">
        <x:v>Illustrative planning workbook. Enter actual effort and accepted work only after it happens; do not backdate evidence.</x:v>
      </x:c>
      <x:c r="B3" s="86"/>
      <x:c r="C3" s="86"/>
      <x:c r="D3" s="86"/>
      <x:c r="E3" s="86"/>
      <x:c r="F3" s="86"/>
      <x:c r="G3" s="86"/>
      <x:c r="H3" s="86"/>
    </x:row>
    <x:row r="4">
      <x:c r="A4" s="86"/>
      <x:c r="B4" s="86"/>
      <x:c r="C4" s="86"/>
      <x:c r="D4" s="86"/>
      <x:c r="E4" s="86"/>
      <x:c r="F4" s="86"/>
      <x:c r="G4" s="86"/>
      <x:c r="H4" s="86"/>
    </x:row>
    <x:row r="5">
      <x:c r="A5" s="8" t="str">
        <x:v>Metric</x:v>
      </x:c>
      <x:c r="B5" s="8" t="str">
        <x:v>Current value</x:v>
      </x:c>
      <x:c r="C5" s="86"/>
      <x:c r="D5" s="8" t="str">
        <x:v>Success metrics</x:v>
      </x:c>
      <x:c r="E5" s="8"/>
      <x:c r="F5" s="8"/>
      <x:c r="G5" s="8"/>
      <x:c r="H5" s="8"/>
    </x:row>
    <x:row r="6">
      <x:c r="A6" s="89" t="str">
        <x:v>Total planned budget (INR)</x:v>
      </x:c>
      <x:c r="B6" s="90" t="n">
        <x:f>Budget_EVM!D14</x:f>
        <x:v>158470</x:v>
      </x:c>
      <x:c r="C6" s="86"/>
      <x:c r="D6" s="8" t="str">
        <x:v>Metric</x:v>
      </x:c>
      <x:c r="E6" s="8" t="str">
        <x:v>Baseline</x:v>
      </x:c>
      <x:c r="F6" s="8" t="str">
        <x:v>Target</x:v>
      </x:c>
      <x:c r="G6" s="8" t="str">
        <x:v>Pilot result</x:v>
      </x:c>
      <x:c r="H6" s="8" t="str">
        <x:v>Evidence status</x:v>
      </x:c>
    </x:row>
    <x:row r="7">
      <x:c r="A7" s="91" t="str">
        <x:v>Planned value to date (INR)</x:v>
      </x:c>
      <x:c r="B7" s="92" t="n">
        <x:f>SUM(Budget_EVM!C20:C29)</x:f>
        <x:v>158471</x:v>
      </x:c>
      <x:c r="C7" s="86"/>
      <x:c r="D7" s="89" t="str">
        <x:v>Booking time</x:v>
      </x:c>
      <x:c r="E7" s="93" t="str">
        <x:v>6:18 illustrative</x:v>
      </x:c>
      <x:c r="F7" s="93" t="str">
        <x:v>≤ 2:30</x:v>
      </x:c>
      <x:c r="G7" s="93" t="str"/>
      <x:c r="H7" s="94" t="str">
        <x:v>Collect timed observations</x:v>
      </x:c>
    </x:row>
    <x:row r="8">
      <x:c r="A8" s="91" t="str">
        <x:v>Earned value to date (INR)</x:v>
      </x:c>
      <x:c r="B8" s="92" t="n">
        <x:f>SUM(Budget_EVM!D20:D29)</x:f>
        <x:v>0</x:v>
      </x:c>
      <x:c r="C8" s="86"/>
      <x:c r="D8" s="91" t="str">
        <x:v>No-show rate</x:v>
      </x:c>
      <x:c r="E8" s="95" t="str">
        <x:v>18.0% illustrative</x:v>
      </x:c>
      <x:c r="F8" s="95" t="str">
        <x:v>≤ 12.0%</x:v>
      </x:c>
      <x:c r="G8" s="95" t="str"/>
      <x:c r="H8" s="96" t="str">
        <x:v>Collect anonymised pilot data</x:v>
      </x:c>
    </x:row>
    <x:row r="9">
      <x:c r="A9" s="91" t="str">
        <x:v>Actual cost to date (INR)</x:v>
      </x:c>
      <x:c r="B9" s="92" t="n">
        <x:f>SUM(Budget_EVM!E20:E29)</x:f>
        <x:v>0</x:v>
      </x:c>
      <x:c r="C9" s="86"/>
      <x:c r="D9" s="91" t="str">
        <x:v>UAT pass rate</x:v>
      </x:c>
      <x:c r="E9" s="95" t="str">
        <x:v>n.a.</x:v>
      </x:c>
      <x:c r="F9" s="95" t="str">
        <x:v>≥ 95.0%</x:v>
      </x:c>
      <x:c r="G9" s="95" t="str"/>
      <x:c r="H9" s="96" t="str">
        <x:v>Enter UAT results</x:v>
      </x:c>
    </x:row>
    <x:row r="10">
      <x:c r="A10" s="91" t="str">
        <x:v>SPI</x:v>
      </x:c>
      <x:c r="B10" s="97" t="str">
        <x:f>IF(COUNT(Budget_EVM!D20:D29)=0,"n.a.",B8/B7)</x:f>
        <x:v>n.a.</x:v>
      </x:c>
      <x:c r="C10" s="86"/>
      <x:c r="D10" s="98" t="str">
        <x:v>SUS</x:v>
      </x:c>
      <x:c r="E10" s="99" t="str">
        <x:v>n.a.</x:v>
      </x:c>
      <x:c r="F10" s="99" t="str">
        <x:v>≥ 75</x:v>
      </x:c>
      <x:c r="G10" s="99" t="str"/>
      <x:c r="H10" s="100" t="str">
        <x:v>Enter survey result</x:v>
      </x:c>
    </x:row>
    <x:row r="11">
      <x:c r="A11" s="91" t="str">
        <x:v>CPI</x:v>
      </x:c>
      <x:c r="B11" s="97" t="str">
        <x:f>IF(COUNT(Budget_EVM!E20:E29)=0,"n.a.",B8/B9)</x:f>
        <x:v>n.a.</x:v>
      </x:c>
      <x:c r="C11" s="86"/>
      <x:c r="D11" s="86"/>
      <x:c r="E11" s="86"/>
      <x:c r="F11" s="86"/>
      <x:c r="G11" s="86"/>
      <x:c r="H11" s="86"/>
    </x:row>
    <x:row r="12">
      <x:c r="A12" s="98" t="str">
        <x:v>UAT pass rate</x:v>
      </x:c>
      <x:c r="B12" s="101" t="str">
        <x:f>IF(OR(Budget_EVM!A36=0,Budget_EVM!B36=""),"n.a.",Budget_EVM!B36/Budget_EVM!A36)</x:f>
        <x:v>n.a.</x:v>
      </x:c>
      <x:c r="C12" s="86"/>
      <x:c r="D12" s="86"/>
      <x:c r="E12" s="86"/>
      <x:c r="F12" s="86"/>
      <x:c r="G12" s="86"/>
      <x:c r="H12" s="86"/>
    </x:row>
    <x:row r="13">
      <x:c r="A13" s="86"/>
      <x:c r="B13" s="86"/>
      <x:c r="C13" s="86"/>
      <x:c r="D13" s="86"/>
      <x:c r="E13" s="86"/>
      <x:c r="F13" s="86"/>
      <x:c r="G13" s="86"/>
      <x:c r="H13" s="86"/>
    </x:row>
    <x:row r="14">
      <x:c r="A14" s="88" t="str">
        <x:v>Use this workbook with the weekly status reports. PV is planned value; EV is accepted value; AC is actual cost. Blank actuals are intentional.</x:v>
      </x:c>
      <x:c r="B14" s="86"/>
      <x:c r="C14" s="86"/>
      <x:c r="D14" s="86"/>
      <x:c r="E14" s="86"/>
      <x:c r="F14" s="86"/>
      <x:c r="G14" s="86"/>
      <x:c r="H14" s="86"/>
    </x:row>
    <x:row r="15">
      <x:c r="A15" s="86"/>
      <x:c r="B15" s="86"/>
      <x:c r="C15" s="86"/>
      <x:c r="D15" s="86"/>
      <x:c r="E15" s="86"/>
      <x:c r="F15" s="86"/>
      <x:c r="G15" s="86"/>
      <x:c r="H15" s="86"/>
    </x:row>
    <x:row r="16">
      <x:c r="A16" s="86"/>
      <x:c r="B16" s="86"/>
      <x:c r="C16" s="86"/>
      <x:c r="D16" s="86"/>
      <x:c r="E16" s="86"/>
      <x:c r="F16" s="86"/>
      <x:c r="G16" s="86"/>
      <x:c r="H16" s="86"/>
    </x:row>
    <x:row r="17">
      <x:c r="A17" s="86"/>
      <x:c r="B17" s="86"/>
      <x:c r="C17" s="86"/>
      <x:c r="D17" s="86"/>
      <x:c r="E17" s="86"/>
      <x:c r="F17" s="86"/>
      <x:c r="G17" s="86"/>
      <x:c r="H17" s="86"/>
    </x:row>
    <x:row r="18">
      <x:c r="A18" s="86"/>
      <x:c r="B18" s="86"/>
      <x:c r="C18" s="86"/>
      <x:c r="D18" s="86"/>
      <x:c r="E18" s="86"/>
      <x:c r="F18" s="86"/>
      <x:c r="G18" s="86"/>
      <x:c r="H18" s="86"/>
    </x:row>
    <x:row r="19">
      <x:c r="A19" s="86"/>
      <x:c r="B19" s="86"/>
      <x:c r="C19" s="86"/>
      <x:c r="D19" s="86"/>
      <x:c r="E19" s="86"/>
      <x:c r="F19" s="86"/>
      <x:c r="G19" s="86"/>
      <x:c r="H19" s="86"/>
    </x:row>
    <x:row r="20">
      <x:c r="A20" s="86"/>
      <x:c r="B20" s="86"/>
      <x:c r="C20" s="86"/>
      <x:c r="D20" s="86"/>
      <x:c r="E20" s="86"/>
      <x:c r="F20" s="86"/>
      <x:c r="G20" s="86"/>
      <x:c r="H20" s="86"/>
    </x:row>
  </x:sheetData>
  <x:mergeCells>
    <x:mergeCell ref="A3:H3"/>
    <x:mergeCell ref="D5:H5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104" t="str">
        <x:v>Illustrative budget baseline and earned-value tracker</x:v>
      </x:c>
      <x:c r="B2" s="105"/>
      <x:c r="C2" s="105"/>
      <x:c r="D2" s="105"/>
      <x:c r="E2" s="105"/>
    </x:row>
    <x:row r="3">
      <x:c r="A3" s="105"/>
      <x:c r="B3" s="105"/>
      <x:c r="C3" s="105"/>
      <x:c r="D3" s="105"/>
      <x:c r="E3" s="105"/>
    </x:row>
    <x:row r="4">
      <x:c r="A4" s="8" t="str">
        <x:v>Resource / cost</x:v>
      </x:c>
      <x:c r="B4" s="8" t="str">
        <x:v>Planned hours / units</x:v>
      </x:c>
      <x:c r="C4" s="8" t="str">
        <x:v>Notional rate (INR)</x:v>
      </x:c>
      <x:c r="D4" s="8" t="str">
        <x:v>Baseline cost (INR)</x:v>
      </x:c>
      <x:c r="E4" s="105"/>
    </x:row>
    <x:row r="5">
      <x:c r="A5" s="89" t="str">
        <x:v>Project manager</x:v>
      </x:c>
      <x:c r="B5" s="106" t="n">
        <x:v>70</x:v>
      </x:c>
      <x:c r="C5" s="107" t="n">
        <x:v>600</x:v>
      </x:c>
      <x:c r="D5" s="90" t="n">
        <x:f>B5*C5</x:f>
        <x:v>42000</x:v>
      </x:c>
      <x:c r="E5" s="105"/>
    </x:row>
    <x:row r="6">
      <x:c r="A6" s="91" t="str">
        <x:v>Developer</x:v>
      </x:c>
      <x:c r="B6" s="108" t="n">
        <x:v>70</x:v>
      </x:c>
      <x:c r="C6" s="109" t="n">
        <x:v>750</x:v>
      </x:c>
      <x:c r="D6" s="92" t="n">
        <x:f>B6*C6</x:f>
        <x:v>52500</x:v>
      </x:c>
      <x:c r="E6" s="105"/>
    </x:row>
    <x:row r="7">
      <x:c r="A7" s="91" t="str">
        <x:v>UX / QA</x:v>
      </x:c>
      <x:c r="B7" s="108" t="n">
        <x:v>50</x:v>
      </x:c>
      <x:c r="C7" s="109" t="n">
        <x:v>600</x:v>
      </x:c>
      <x:c r="D7" s="92" t="n">
        <x:f>B7*C7</x:f>
        <x:v>30000</x:v>
      </x:c>
      <x:c r="E7" s="105"/>
    </x:row>
    <x:row r="8">
      <x:c r="A8" s="91" t="str">
        <x:v>Privacy adviser</x:v>
      </x:c>
      <x:c r="B8" s="108" t="n">
        <x:v>12</x:v>
      </x:c>
      <x:c r="C8" s="109" t="n">
        <x:v>900</x:v>
      </x:c>
      <x:c r="D8" s="92" t="n">
        <x:f>B8*C8</x:f>
        <x:v>10800</x:v>
      </x:c>
      <x:c r="E8" s="105"/>
    </x:row>
    <x:row r="9">
      <x:c r="A9" s="91" t="str">
        <x:v>SMS / WhatsApp pilot credits</x:v>
      </x:c>
      <x:c r="B9" s="108" t="n">
        <x:v>1</x:v>
      </x:c>
      <x:c r="C9" s="109" t="n">
        <x:v>1500</x:v>
      </x:c>
      <x:c r="D9" s="92" t="n">
        <x:f>B9*C9</x:f>
        <x:v>1500</x:v>
      </x:c>
      <x:c r="E9" s="105"/>
    </x:row>
    <x:row r="10">
      <x:c r="A10" s="91" t="str">
        <x:v>Hosting / miscellaneous</x:v>
      </x:c>
      <x:c r="B10" s="108" t="n">
        <x:v>1</x:v>
      </x:c>
      <x:c r="C10" s="109" t="n">
        <x:v>1000</x:v>
      </x:c>
      <x:c r="D10" s="92" t="n">
        <x:f>B10*C10</x:f>
        <x:v>1000</x:v>
      </x:c>
      <x:c r="E10" s="105"/>
    </x:row>
    <x:row r="11">
      <x:c r="A11" s="110" t="str">
        <x:v>Direct cost</x:v>
      </x:c>
      <x:c r="B11" s="111" t="str"/>
      <x:c r="C11" s="111" t="str"/>
      <x:c r="D11" s="112" t="n">
        <x:f>SUM(D5:D10)</x:f>
        <x:v>137800</x:v>
      </x:c>
      <x:c r="E11" s="105"/>
    </x:row>
    <x:row r="12">
      <x:c r="A12" s="110" t="str">
        <x:v>Contingency %</x:v>
      </x:c>
      <x:c r="B12" s="113" t="n">
        <x:v>0.15</x:v>
      </x:c>
      <x:c r="C12" s="111" t="str"/>
      <x:c r="D12" s="112" t="n">
        <x:f>D11*B12</x:f>
        <x:v>20670</x:v>
      </x:c>
      <x:c r="E12" s="105"/>
    </x:row>
    <x:row r="13">
      <x:c r="A13" s="110" t="str">
        <x:v>Contingency</x:v>
      </x:c>
      <x:c r="B13" s="111" t="str"/>
      <x:c r="C13" s="111" t="str"/>
      <x:c r="D13" s="112" t="n">
        <x:f>D12</x:f>
        <x:v>20670</x:v>
      </x:c>
      <x:c r="E13" s="105"/>
    </x:row>
    <x:row r="14">
      <x:c r="A14" s="114" t="str">
        <x:v>Total planned budget</x:v>
      </x:c>
      <x:c r="B14" s="115" t="str"/>
      <x:c r="C14" s="115" t="str"/>
      <x:c r="D14" s="116" t="n">
        <x:f>D11+D13</x:f>
        <x:v>158470</x:v>
      </x:c>
      <x:c r="E14" s="105"/>
    </x:row>
    <x:row r="15">
      <x:c r="A15" s="105"/>
      <x:c r="B15" s="105"/>
      <x:c r="C15" s="105"/>
      <x:c r="D15" s="105"/>
      <x:c r="E15" s="105"/>
    </x:row>
    <x:row r="16">
      <x:c r="A16" s="105"/>
      <x:c r="B16" s="105"/>
      <x:c r="C16" s="105"/>
      <x:c r="D16" s="105"/>
      <x:c r="E16" s="105"/>
    </x:row>
    <x:row r="17">
      <x:c r="A17" s="105"/>
      <x:c r="B17" s="105"/>
      <x:c r="C17" s="105"/>
      <x:c r="D17" s="105"/>
      <x:c r="E17" s="105"/>
    </x:row>
    <x:row r="18">
      <x:c r="A18" s="105"/>
      <x:c r="B18" s="105"/>
      <x:c r="C18" s="105"/>
      <x:c r="D18" s="105"/>
      <x:c r="E18" s="105"/>
    </x:row>
    <x:row r="19">
      <x:c r="A19" s="8" t="str">
        <x:v>Week</x:v>
      </x:c>
      <x:c r="B19" s="8" t="str">
        <x:v>Planned %</x:v>
      </x:c>
      <x:c r="C19" s="8" t="str">
        <x:v>PV (INR)</x:v>
      </x:c>
      <x:c r="D19" s="8" t="str">
        <x:v>EV (INR)</x:v>
      </x:c>
      <x:c r="E19" s="8" t="str">
        <x:v>AC (INR)</x:v>
      </x:c>
    </x:row>
    <x:row r="20">
      <x:c r="A20" s="89" t="str">
        <x:v>Week 1: 3–9 Aug</x:v>
      </x:c>
      <x:c r="B20" s="117" t="n">
        <x:v>0.05</x:v>
      </x:c>
      <x:c r="C20" s="118" t="n">
        <x:f>ROUND($D$14*B20,0)</x:f>
        <x:v>7924</x:v>
      </x:c>
      <x:c r="D20" s="107" t="str"/>
      <x:c r="E20" s="119" t="str"/>
    </x:row>
    <x:row r="21">
      <x:c r="A21" s="91" t="str">
        <x:v>Week 2: 10–16 Aug</x:v>
      </x:c>
      <x:c r="B21" s="120" t="n">
        <x:v>0.05</x:v>
      </x:c>
      <x:c r="C21" s="121" t="n">
        <x:f>ROUND($D$14*B21,0)</x:f>
        <x:v>7924</x:v>
      </x:c>
      <x:c r="D21" s="109" t="str"/>
      <x:c r="E21" s="122" t="str"/>
    </x:row>
    <x:row r="22">
      <x:c r="A22" s="91" t="str">
        <x:v>Week 3: 17–23 Aug</x:v>
      </x:c>
      <x:c r="B22" s="120" t="n">
        <x:v>0.1</x:v>
      </x:c>
      <x:c r="C22" s="121" t="n">
        <x:f>ROUND($D$14*B22,0)</x:f>
        <x:v>15847</x:v>
      </x:c>
      <x:c r="D22" s="109" t="str"/>
      <x:c r="E22" s="122" t="str"/>
    </x:row>
    <x:row r="23">
      <x:c r="A23" s="91" t="str">
        <x:v>Week 4: 24–30 Aug</x:v>
      </x:c>
      <x:c r="B23" s="120" t="n">
        <x:v>0.1</x:v>
      </x:c>
      <x:c r="C23" s="121" t="n">
        <x:f>ROUND($D$14*B23,0)</x:f>
        <x:v>15847</x:v>
      </x:c>
      <x:c r="D23" s="109" t="str"/>
      <x:c r="E23" s="122" t="str"/>
    </x:row>
    <x:row r="24">
      <x:c r="A24" s="91" t="str">
        <x:v>Week 5: 31 Aug–6 Sep</x:v>
      </x:c>
      <x:c r="B24" s="120" t="n">
        <x:v>0.12</x:v>
      </x:c>
      <x:c r="C24" s="121" t="n">
        <x:f>ROUND($D$14*B24,0)</x:f>
        <x:v>19016</x:v>
      </x:c>
      <x:c r="D24" s="109" t="str"/>
      <x:c r="E24" s="122" t="str"/>
    </x:row>
    <x:row r="25">
      <x:c r="A25" s="91" t="str">
        <x:v>Week 6: 7–13 Sep</x:v>
      </x:c>
      <x:c r="B25" s="120" t="n">
        <x:v>0.13</x:v>
      </x:c>
      <x:c r="C25" s="121" t="n">
        <x:f>ROUND($D$14*B25,0)</x:f>
        <x:v>20601</x:v>
      </x:c>
      <x:c r="D25" s="109" t="str"/>
      <x:c r="E25" s="122" t="str"/>
    </x:row>
    <x:row r="26">
      <x:c r="A26" s="91" t="str">
        <x:v>Week 7: 14–20 Sep</x:v>
      </x:c>
      <x:c r="B26" s="120" t="n">
        <x:v>0.13</x:v>
      </x:c>
      <x:c r="C26" s="121" t="n">
        <x:f>ROUND($D$14*B26,0)</x:f>
        <x:v>20601</x:v>
      </x:c>
      <x:c r="D26" s="109" t="str"/>
      <x:c r="E26" s="122" t="str"/>
    </x:row>
    <x:row r="27">
      <x:c r="A27" s="91" t="str">
        <x:v>Week 8: 21–27 Sep</x:v>
      </x:c>
      <x:c r="B27" s="120" t="n">
        <x:v>0.14</x:v>
      </x:c>
      <x:c r="C27" s="121" t="n">
        <x:f>ROUND($D$14*B27,0)</x:f>
        <x:v>22186</x:v>
      </x:c>
      <x:c r="D27" s="109" t="str"/>
      <x:c r="E27" s="122" t="str"/>
    </x:row>
    <x:row r="28">
      <x:c r="A28" s="91" t="str">
        <x:v>Week 9: 28 Sep–4 Oct</x:v>
      </x:c>
      <x:c r="B28" s="120" t="n">
        <x:v>0.11</x:v>
      </x:c>
      <x:c r="C28" s="121" t="n">
        <x:f>ROUND($D$14*B28,0)</x:f>
        <x:v>17432</x:v>
      </x:c>
      <x:c r="D28" s="109" t="str"/>
      <x:c r="E28" s="122" t="str"/>
    </x:row>
    <x:row r="29">
      <x:c r="A29" s="98" t="str">
        <x:v>Week 10: 5–11 Oct</x:v>
      </x:c>
      <x:c r="B29" s="123" t="n">
        <x:v>0.07</x:v>
      </x:c>
      <x:c r="C29" s="124" t="n">
        <x:f>ROUND($D$14*B29,0)</x:f>
        <x:v>11093</x:v>
      </x:c>
      <x:c r="D29" s="125" t="str"/>
      <x:c r="E29" s="126" t="str"/>
    </x:row>
    <x:row r="30">
      <x:c r="A30" s="105"/>
      <x:c r="B30" s="105"/>
      <x:c r="C30" s="105"/>
      <x:c r="D30" s="105"/>
      <x:c r="E30" s="105"/>
    </x:row>
    <x:row r="31">
      <x:c r="A31" s="127" t="str">
        <x:v>Cumulative PV</x:v>
      </x:c>
      <x:c r="B31" s="128" t="n">
        <x:f>SUM(C20:C29)</x:f>
        <x:v>158471</x:v>
      </x:c>
      <x:c r="C31" s="129" t="str">
        <x:v>Cumulative EV</x:v>
      </x:c>
      <x:c r="D31" s="130" t="n">
        <x:f>SUM(D20:D29)</x:f>
        <x:v>0</x:v>
      </x:c>
      <x:c r="E31" s="105"/>
    </x:row>
    <x:row r="32">
      <x:c r="A32" s="110" t="str">
        <x:v>Cumulative AC</x:v>
      </x:c>
      <x:c r="B32" s="131" t="n">
        <x:f>SUM(E20:E29)</x:f>
        <x:v>0</x:v>
      </x:c>
      <x:c r="C32" s="111" t="str">
        <x:v>SPI</x:v>
      </x:c>
      <x:c r="D32" s="132" t="str">
        <x:f>IF(COUNT(D20:D29)=0,"n.a.",D31/B31)</x:f>
        <x:v>n.a.</x:v>
      </x:c>
      <x:c r="E32" s="105"/>
    </x:row>
    <x:row r="33">
      <x:c r="A33" s="114" t="str">
        <x:v>CPI</x:v>
      </x:c>
      <x:c r="B33" s="133" t="str">
        <x:f>IF(COUNT(E20:E29)=0,"n.a.",D31/B32)</x:f>
        <x:v>n.a.</x:v>
      </x:c>
      <x:c r="C33" s="115" t="str"/>
      <x:c r="D33" s="134" t="str"/>
      <x:c r="E33" s="105"/>
    </x:row>
    <x:row r="34">
      <x:c r="A34" s="105"/>
      <x:c r="B34" s="105"/>
      <x:c r="C34" s="105"/>
      <x:c r="D34" s="105"/>
      <x:c r="E34" s="105"/>
    </x:row>
    <x:row r="35">
      <x:c r="A35" s="8" t="str">
        <x:v>UAT cases planned</x:v>
      </x:c>
      <x:c r="B35" s="8" t="str">
        <x:v>UAT cases passed</x:v>
      </x:c>
      <x:c r="C35" s="8" t="str">
        <x:v>UAT pass rate</x:v>
      </x:c>
      <x:c r="D35" s="105"/>
      <x:c r="E35" s="105"/>
    </x:row>
    <x:row r="36">
      <x:c r="A36" s="135" t="n">
        <x:v>20</x:v>
      </x:c>
      <x:c r="B36" s="136" t="str"/>
      <x:c r="C36" s="137" t="str">
        <x:f>IF(OR(A36=0,B36=""),"n.a.",B36/A36)</x:f>
        <x:v>n.a.</x:v>
      </x:c>
      <x:c r="D36" s="105"/>
      <x:c r="E36" s="10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35" hidden="0" customWidth="1"/>
    <x:col min="6" max="6" width="24" hidden="0" customWidth="1"/>
  </x:cols>
  <x:sheetData>
    <x:row r="2">
      <x:c r="A2" s="104" t="str">
        <x:v>Illustrative vendor comparison — verify current pricing, terms, and availability before selection</x:v>
      </x:c>
      <x:c r="B2" s="105"/>
      <x:c r="C2" s="105"/>
      <x:c r="D2" s="105"/>
      <x:c r="E2" s="105"/>
      <x:c r="F2" s="105"/>
    </x:row>
    <x:row r="3">
      <x:c r="A3" s="105"/>
      <x:c r="B3" s="105"/>
      <x:c r="C3" s="105"/>
      <x:c r="D3" s="105"/>
      <x:c r="E3" s="105"/>
      <x:c r="F3" s="105"/>
    </x:row>
    <x:row r="4">
      <x:c r="A4" s="8" t="str">
        <x:v>SMS / WhatsApp criterion</x:v>
      </x:c>
      <x:c r="B4" s="8" t="str">
        <x:v>Weight</x:v>
      </x:c>
      <x:c r="C4" s="8" t="str">
        <x:v>Twilio</x:v>
      </x:c>
      <x:c r="D4" s="8" t="str">
        <x:v>MSG91</x:v>
      </x:c>
      <x:c r="E4" s="8" t="str">
        <x:v>Notes</x:v>
      </x:c>
      <x:c r="F4" s="8" t="str">
        <x:v>Decision rule</x:v>
      </x:c>
    </x:row>
    <x:row r="5">
      <x:c r="A5" s="89" t="str">
        <x:v>India delivery coverage</x:v>
      </x:c>
      <x:c r="B5" s="138" t="n">
        <x:v>0.3</x:v>
      </x:c>
      <x:c r="C5" s="138" t="n">
        <x:v>4</x:v>
      </x:c>
      <x:c r="D5" s="138" t="n">
        <x:v>5</x:v>
      </x:c>
      <x:c r="E5" s="93" t="str">
        <x:v>Illustrative score; validate pilot route</x:v>
      </x:c>
      <x:c r="F5" s="94" t="str">
        <x:v>Score 1–5</x:v>
      </x:c>
    </x:row>
    <x:row r="6">
      <x:c r="A6" s="91" t="str">
        <x:v>Setup and documentation</x:v>
      </x:c>
      <x:c r="B6" s="139" t="n">
        <x:v>0.2</x:v>
      </x:c>
      <x:c r="C6" s="139" t="n">
        <x:v>5</x:v>
      </x:c>
      <x:c r="D6" s="139" t="n">
        <x:v>4</x:v>
      </x:c>
      <x:c r="E6" s="95" t="str">
        <x:v>Illustrative</x:v>
      </x:c>
      <x:c r="F6" s="96" t="str">
        <x:v>Score 1–5</x:v>
      </x:c>
    </x:row>
    <x:row r="7">
      <x:c r="A7" s="91" t="str">
        <x:v>Estimated pilot cost</x:v>
      </x:c>
      <x:c r="B7" s="139" t="n">
        <x:v>0.2</x:v>
      </x:c>
      <x:c r="C7" s="139" t="n">
        <x:v>3</x:v>
      </x:c>
      <x:c r="D7" s="139" t="n">
        <x:v>4</x:v>
      </x:c>
      <x:c r="E7" s="95" t="str">
        <x:v>Illustrative</x:v>
      </x:c>
      <x:c r="F7" s="96" t="str">
        <x:v>Score 1–5</x:v>
      </x:c>
    </x:row>
    <x:row r="8">
      <x:c r="A8" s="91" t="str">
        <x:v>Delivery reporting</x:v>
      </x:c>
      <x:c r="B8" s="139" t="n">
        <x:v>0.15</x:v>
      </x:c>
      <x:c r="C8" s="139" t="n">
        <x:v>5</x:v>
      </x:c>
      <x:c r="D8" s="139" t="n">
        <x:v>4</x:v>
      </x:c>
      <x:c r="E8" s="95" t="str">
        <x:v>Illustrative</x:v>
      </x:c>
      <x:c r="F8" s="96" t="str">
        <x:v>Score 1–5</x:v>
      </x:c>
    </x:row>
    <x:row r="9">
      <x:c r="A9" s="91" t="str">
        <x:v>Fallback options</x:v>
      </x:c>
      <x:c r="B9" s="139" t="n">
        <x:v>0.15</x:v>
      </x:c>
      <x:c r="C9" s="139" t="n">
        <x:v>5</x:v>
      </x:c>
      <x:c r="D9" s="139" t="n">
        <x:v>4</x:v>
      </x:c>
      <x:c r="E9" s="95" t="str">
        <x:v>Illustrative</x:v>
      </x:c>
      <x:c r="F9" s="96" t="str">
        <x:v>Score 1–5</x:v>
      </x:c>
    </x:row>
    <x:row r="10">
      <x:c r="A10" s="98" t="str">
        <x:v>Weighted total</x:v>
      </x:c>
      <x:c r="B10" s="140" t="n">
        <x:v>1</x:v>
      </x:c>
      <x:c r="C10" s="140" t="n">
        <x:f>SUMPRODUCT($B$5:$B$9,C5:C9)</x:f>
        <x:v>4.300000000000001</x:v>
      </x:c>
      <x:c r="D10" s="140" t="n">
        <x:f>SUMPRODUCT($B$5:$B$9,D5:D9)</x:f>
        <x:v>4.3</x:v>
      </x:c>
      <x:c r="E10" s="99" t="str">
        <x:v>Higher is preferred if privacy and terms pass</x:v>
      </x:c>
      <x:c r="F10" s="100" t="str">
        <x:v>Product owner + privacy review</x:v>
      </x:c>
    </x:row>
    <x:row r="11">
      <x:c r="A11" s="105"/>
      <x:c r="B11" s="105"/>
      <x:c r="C11" s="105"/>
      <x:c r="D11" s="105"/>
      <x:c r="E11" s="105"/>
      <x:c r="F11" s="105"/>
    </x:row>
    <x:row r="12">
      <x:c r="A12" s="105"/>
      <x:c r="B12" s="105"/>
      <x:c r="C12" s="105"/>
      <x:c r="D12" s="105"/>
      <x:c r="E12" s="105"/>
      <x:c r="F12" s="105"/>
    </x:row>
    <x:row r="13">
      <x:c r="A13" s="8" t="str">
        <x:v>Future payment criterion (out of MVP scope)</x:v>
      </x:c>
      <x:c r="B13" s="8" t="str">
        <x:v>Weight</x:v>
      </x:c>
      <x:c r="C13" s="8" t="str">
        <x:v>Razorpay</x:v>
      </x:c>
      <x:c r="D13" s="8" t="str">
        <x:v>Stripe</x:v>
      </x:c>
      <x:c r="E13" s="8" t="str">
        <x:v>Notes</x:v>
      </x:c>
      <x:c r="F13" s="8" t="str">
        <x:v>Decision rule</x:v>
      </x:c>
    </x:row>
    <x:row r="14">
      <x:c r="A14" s="89" t="str">
        <x:v>India availability</x:v>
      </x:c>
      <x:c r="B14" s="138" t="n">
        <x:v>0.3</x:v>
      </x:c>
      <x:c r="C14" s="138" t="n">
        <x:v>5</x:v>
      </x:c>
      <x:c r="D14" s="138" t="n">
        <x:v>3</x:v>
      </x:c>
      <x:c r="E14" s="93" t="str">
        <x:v>Illustrative only</x:v>
      </x:c>
      <x:c r="F14" s="94" t="str">
        <x:v>Score 1–5</x:v>
      </x:c>
    </x:row>
    <x:row r="15">
      <x:c r="A15" s="91" t="str">
        <x:v>Integration fit</x:v>
      </x:c>
      <x:c r="B15" s="139" t="n">
        <x:v>0.2</x:v>
      </x:c>
      <x:c r="C15" s="139" t="n">
        <x:v>5</x:v>
      </x:c>
      <x:c r="D15" s="139" t="n">
        <x:v>4</x:v>
      </x:c>
      <x:c r="E15" s="95" t="str">
        <x:v>Illustrative only</x:v>
      </x:c>
      <x:c r="F15" s="96" t="str">
        <x:v>Score 1–5</x:v>
      </x:c>
    </x:row>
    <x:row r="16">
      <x:c r="A16" s="91" t="str">
        <x:v>Fee clarity</x:v>
      </x:c>
      <x:c r="B16" s="139" t="n">
        <x:v>0.2</x:v>
      </x:c>
      <x:c r="C16" s="139" t="n">
        <x:v>4</x:v>
      </x:c>
      <x:c r="D16" s="139" t="n">
        <x:v>3</x:v>
      </x:c>
      <x:c r="E16" s="95" t="str">
        <x:v>Illustrative only</x:v>
      </x:c>
      <x:c r="F16" s="96" t="str">
        <x:v>Score 1–5</x:v>
      </x:c>
    </x:row>
    <x:row r="17">
      <x:c r="A17" s="91" t="str">
        <x:v>Refund / support</x:v>
      </x:c>
      <x:c r="B17" s="139" t="n">
        <x:v>0.15</x:v>
      </x:c>
      <x:c r="C17" s="139" t="n">
        <x:v>4</x:v>
      </x:c>
      <x:c r="D17" s="139" t="n">
        <x:v>4</x:v>
      </x:c>
      <x:c r="E17" s="95" t="str">
        <x:v>Illustrative only</x:v>
      </x:c>
      <x:c r="F17" s="96" t="str">
        <x:v>Score 1–5</x:v>
      </x:c>
    </x:row>
    <x:row r="18">
      <x:c r="A18" s="91" t="str">
        <x:v>Compliance review</x:v>
      </x:c>
      <x:c r="B18" s="139" t="n">
        <x:v>0.15</x:v>
      </x:c>
      <x:c r="C18" s="139" t="n">
        <x:v>4</x:v>
      </x:c>
      <x:c r="D18" s="139" t="n">
        <x:v>4</x:v>
      </x:c>
      <x:c r="E18" s="95" t="str">
        <x:v>Illustrative only</x:v>
      </x:c>
      <x:c r="F18" s="96" t="str">
        <x:v>Score 1–5</x:v>
      </x:c>
    </x:row>
    <x:row r="19">
      <x:c r="A19" s="98" t="str">
        <x:v>Weighted total</x:v>
      </x:c>
      <x:c r="B19" s="140" t="n">
        <x:v>1</x:v>
      </x:c>
      <x:c r="C19" s="140" t="n">
        <x:f>SUMPRODUCT($B$14:$B$18,C14:C18)</x:f>
        <x:v>4.5</x:v>
      </x:c>
      <x:c r="D19" s="140" t="n">
        <x:f>SUMPRODUCT($B$14:$B$18,D14:D18)</x:f>
        <x:v>3.5</x:v>
      </x:c>
      <x:c r="E19" s="99" t="str">
        <x:v>Not part of MVP; no provider is selected</x:v>
      </x:c>
      <x:c r="F19" s="100" t="str">
        <x:v>Future roadmap only</x:v>
      </x:c>
    </x:row>
    <x:row r="20">
      <x:c r="A20" s="105"/>
      <x:c r="B20" s="105"/>
      <x:c r="C20" s="105"/>
      <x:c r="D20" s="105"/>
      <x:c r="E20" s="105"/>
      <x:c r="F20" s="105"/>
    </x:row>
    <x:row r="21">
      <x:c r="A21" s="105"/>
      <x:c r="B21" s="105"/>
      <x:c r="C21" s="105"/>
      <x:c r="D21" s="105"/>
      <x:c r="E21" s="105"/>
      <x:c r="F21" s="105"/>
    </x:row>
    <x:row r="22">
      <x:c r="A22" s="88" t="str">
        <x:v>Gate: provider selection requires privacy approval, test delivery evidence, final terms/pricing review, and sponsor sign-off. Scores are planning inputs, not market research.</x:v>
      </x:c>
      <x:c r="B22" s="105"/>
      <x:c r="C22" s="105"/>
      <x:c r="D22" s="105"/>
      <x:c r="E22" s="105"/>
      <x:c r="F22" s="105"/>
    </x:row>
  </x:sheetData>
  <x:mergeCells>
    <x:mergeCell ref="A22:F22"/>
  </x:mergeCells>
  <x:pageMargins left="0.7" right="0.7" top="0.75" bottom="0.75" header="0.3" footer="0.3"/>
</x:worksheet>
</file>